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Develop\Manager\App\Company\ActReco\Projects\v2 ALL\"/>
    </mc:Choice>
  </mc:AlternateContent>
  <xr:revisionPtr revIDLastSave="0" documentId="13_ncr:1_{955A9377-E9A3-4AA3-B6E9-FFE4B3D54F5A}" xr6:coauthVersionLast="47" xr6:coauthVersionMax="47" xr10:uidLastSave="{00000000-0000-0000-0000-000000000000}"/>
  <bookViews>
    <workbookView xWindow="-103" yWindow="-103" windowWidth="29692" windowHeight="11949" tabRatio="633" xr2:uid="{00000000-000D-0000-FFFF-FFFF00000000}"/>
  </bookViews>
  <sheets>
    <sheet name="ALL" sheetId="66" r:id="rId1"/>
    <sheet name="Sheet1" sheetId="67" r:id="rId2"/>
    <sheet name="2025-03 (2)" sheetId="4" state="hidden" r:id="rId3"/>
  </sheets>
  <functionGroups builtInGroupCount="19"/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67" l="1" a="1"/>
  <c r="B1" i="67" s="1"/>
  <c r="D6" i="66"/>
  <c r="D7" i="66"/>
  <c r="C11" i="66" a="1"/>
  <c r="C11" i="66" l="1"/>
  <c r="G3" i="66"/>
  <c r="C1048576" i="4" l="1"/>
  <c r="E35" i="4"/>
  <c r="F35" i="4" s="1"/>
  <c r="G35" i="4" s="1"/>
  <c r="E34" i="4"/>
  <c r="E33" i="4"/>
  <c r="E32" i="4"/>
  <c r="E31" i="4"/>
  <c r="E30" i="4"/>
  <c r="E29" i="4"/>
  <c r="E28" i="4"/>
  <c r="E27" i="4"/>
  <c r="E26" i="4"/>
  <c r="E25" i="4"/>
  <c r="F25" i="4" s="1"/>
  <c r="G25" i="4" s="1"/>
  <c r="E24" i="4"/>
  <c r="E23" i="4"/>
  <c r="E22" i="4"/>
  <c r="E21" i="4"/>
  <c r="E20" i="4"/>
  <c r="F20" i="4" s="1"/>
  <c r="G20" i="4" s="1"/>
  <c r="F19" i="4"/>
  <c r="G19" i="4" s="1"/>
  <c r="E19" i="4"/>
  <c r="E18" i="4"/>
  <c r="F18" i="4" s="1"/>
  <c r="G18" i="4" s="1"/>
  <c r="J17" i="4"/>
  <c r="J18" i="4" s="1"/>
  <c r="E17" i="4"/>
  <c r="E16" i="4"/>
  <c r="E15" i="4"/>
  <c r="E14" i="4"/>
  <c r="E13" i="4"/>
  <c r="E12" i="4"/>
  <c r="F12" i="4" s="1"/>
  <c r="G12" i="4" s="1"/>
  <c r="E11" i="4"/>
  <c r="E10" i="4"/>
  <c r="E9" i="4"/>
  <c r="J8" i="4"/>
  <c r="E8" i="4"/>
  <c r="F8" i="4" s="1"/>
  <c r="G8" i="4" s="1"/>
  <c r="E7" i="4"/>
  <c r="F7" i="4" s="1"/>
  <c r="G7" i="4" s="1"/>
  <c r="E6" i="4"/>
  <c r="A6" i="4"/>
  <c r="A7" i="4" s="1"/>
  <c r="E5" i="4"/>
  <c r="E3" i="4" s="1"/>
  <c r="E1048576" i="4" s="1"/>
  <c r="D3" i="4"/>
  <c r="D1048576" i="4" s="1"/>
  <c r="C3" i="4"/>
  <c r="F21" i="4" l="1"/>
  <c r="G21" i="4" s="1"/>
  <c r="F24" i="4"/>
  <c r="G24" i="4" s="1"/>
  <c r="F22" i="4"/>
  <c r="G22" i="4" s="1"/>
  <c r="F28" i="4"/>
  <c r="G28" i="4" s="1"/>
  <c r="F9" i="4"/>
  <c r="G9" i="4" s="1"/>
  <c r="F11" i="4"/>
  <c r="G11" i="4" s="1"/>
  <c r="F26" i="4"/>
  <c r="G26" i="4" s="1"/>
  <c r="F14" i="4"/>
  <c r="G14" i="4" s="1"/>
  <c r="F15" i="4"/>
  <c r="G15" i="4" s="1"/>
  <c r="F29" i="4"/>
  <c r="G29" i="4" s="1"/>
  <c r="F16" i="4"/>
  <c r="G16" i="4" s="1"/>
  <c r="F5" i="4"/>
  <c r="G5" i="4" s="1"/>
  <c r="F17" i="4"/>
  <c r="G17" i="4" s="1"/>
  <c r="F30" i="4"/>
  <c r="G30" i="4" s="1"/>
  <c r="F10" i="4"/>
  <c r="G10" i="4" s="1"/>
  <c r="F23" i="4"/>
  <c r="G23" i="4" s="1"/>
  <c r="F13" i="4"/>
  <c r="G13" i="4" s="1"/>
  <c r="F27" i="4"/>
  <c r="G27" i="4" s="1"/>
  <c r="F31" i="4"/>
  <c r="G31" i="4" s="1"/>
  <c r="F32" i="4"/>
  <c r="G32" i="4" s="1"/>
  <c r="F6" i="4"/>
  <c r="F33" i="4"/>
  <c r="G33" i="4" s="1"/>
  <c r="F34" i="4"/>
  <c r="G34" i="4" s="1"/>
  <c r="G6" i="4"/>
  <c r="A8" i="4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F3" i="4" l="1"/>
  <c r="G3" i="4"/>
  <c r="G1048576" i="4" s="1"/>
  <c r="A1048576" i="4"/>
  <c r="F1048576" i="4"/>
  <c r="J13" i="4"/>
  <c r="J14" i="4" l="1"/>
  <c r="J20" i="4" s="1"/>
  <c r="J1048576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<sst xmlns="http://schemas.openxmlformats.org/spreadsheetml/2006/main" count="44" uniqueCount="41">
  <si>
    <t>Link</t>
  </si>
  <si>
    <t>Time in Hour</t>
  </si>
  <si>
    <t>Rate in USD</t>
  </si>
  <si>
    <t>Rate PerHour</t>
  </si>
  <si>
    <t>Currency Rate</t>
  </si>
  <si>
    <t>Bonus Payment</t>
  </si>
  <si>
    <t>Time in Minutes</t>
  </si>
  <si>
    <t>ALL</t>
  </si>
  <si>
    <t>PrePays, Avans</t>
  </si>
  <si>
    <t>Overall for Payment</t>
  </si>
  <si>
    <t>Overall for Payment in UZS</t>
  </si>
  <si>
    <t>Video count</t>
  </si>
  <si>
    <t>Salary in UZS</t>
  </si>
  <si>
    <t xml:space="preserve"> Salary</t>
  </si>
  <si>
    <t>Payment via Labour Contract</t>
  </si>
  <si>
    <t>Tax from Labour Contract</t>
  </si>
  <si>
    <t>Lean Amount of Money from LC</t>
  </si>
  <si>
    <t>Payment via Service Contract</t>
  </si>
  <si>
    <t>Aliev Sh.</t>
  </si>
  <si>
    <t>Full Name</t>
  </si>
  <si>
    <t>https://t.me/c/1928723945/894/63103</t>
  </si>
  <si>
    <t>https://t.me/c/1928723945/894/63448</t>
  </si>
  <si>
    <t>https://t.me/c/1928723945/894/66024</t>
  </si>
  <si>
    <t>https://t.me/c/1928723945/894/67299</t>
  </si>
  <si>
    <t>Начисление</t>
  </si>
  <si>
    <t>Организация</t>
  </si>
  <si>
    <t>ИНН</t>
  </si>
  <si>
    <t>Площадь помещения</t>
  </si>
  <si>
    <t xml:space="preserve"> </t>
  </si>
  <si>
    <t>Перечисления</t>
  </si>
  <si>
    <t xml:space="preserve">Возвраты </t>
  </si>
  <si>
    <t>Тип</t>
  </si>
  <si>
    <t>Дата договора аренды</t>
  </si>
  <si>
    <t>Номер договора аренды</t>
  </si>
  <si>
    <t>Переход</t>
  </si>
  <si>
    <t>Счет Фактуры</t>
  </si>
  <si>
    <t>\Testings\KOGON YO`L TA`MIR QURILISH\ActReco\ActReco, KOGON YO`L TA`MIR QURILISH, 2025-09-03.xlsx</t>
  </si>
  <si>
    <t>File</t>
  </si>
  <si>
    <t>d:\FSystem\ALL\Humans\Rentalls\Testings\KOGON YO`L TA`MIR QURILISH\ActReco\ActReco, KOGON YO`L TA`MIR QURILISH, 2025-09-04.xlsx</t>
  </si>
  <si>
    <t>CONSTANTA PROF COMMERCE</t>
  </si>
  <si>
    <t>OOO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</si>
</sst>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&quot;$&quot;#,##0.00"/>
  </numFmts>
  <fonts count="11" x14ac:knownFonts="1">
    <font>
      <sz val="11"/>
      <color theme="1"/>
      <name val="Calibri"/>
      <family val="2"/>
      <charset val="204"/>
      <scheme val="minor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4"/>
      <color theme="1"/>
      <name val="Arial"/>
      <family val="2"/>
      <charset val="204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u/>
      <sz val="11"/>
      <color theme="10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0">
    <xf numFmtId="0" fontId="0" fillId="0" borderId="0" xfId="0"/>
    <xf numFmtId="0" fontId="6" fillId="0" borderId="0" xfId="0" applyFont="1" applyAlignment="1">
      <alignment horizontal="center" vertical="center"/>
    </xf>
    <xf numFmtId="165" fontId="6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5" fontId="5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164" fontId="6" fillId="0" borderId="0" xfId="0" applyNumberFormat="1" applyFont="1" applyAlignment="1">
      <alignment horizontal="center" vertical="center" wrapText="1"/>
    </xf>
    <xf numFmtId="3" fontId="5" fillId="0" borderId="0" xfId="0" applyNumberFormat="1" applyFont="1" applyAlignment="1">
      <alignment horizontal="center" vertical="center"/>
    </xf>
    <xf numFmtId="3" fontId="6" fillId="0" borderId="0" xfId="0" applyNumberFormat="1" applyFont="1" applyAlignment="1">
      <alignment horizontal="center" vertical="center" wrapText="1"/>
    </xf>
    <xf numFmtId="164" fontId="6" fillId="2" borderId="0" xfId="0" applyNumberFormat="1" applyFont="1" applyFill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3" fontId="6" fillId="2" borderId="0" xfId="0" applyNumberFormat="1" applyFont="1" applyFill="1" applyAlignment="1">
      <alignment horizontal="center" vertical="center" wrapText="1"/>
    </xf>
    <xf numFmtId="165" fontId="7" fillId="0" borderId="0" xfId="0" applyNumberFormat="1" applyFont="1" applyAlignment="1">
      <alignment horizontal="center" vertical="center" wrapText="1"/>
    </xf>
    <xf numFmtId="3" fontId="7" fillId="0" borderId="0" xfId="0" applyNumberFormat="1" applyFont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165" fontId="5" fillId="3" borderId="0" xfId="0" applyNumberFormat="1" applyFont="1" applyFill="1" applyAlignment="1">
      <alignment horizontal="center" vertical="center"/>
    </xf>
    <xf numFmtId="0" fontId="9" fillId="0" borderId="0" xfId="0" applyFont="1"/>
    <xf numFmtId="0" fontId="4" fillId="0" borderId="0" xfId="0" applyFont="1"/>
    <xf numFmtId="0" fontId="4" fillId="0" borderId="0" xfId="0" applyFont="1" applyAlignment="1">
      <alignment vertical="center"/>
    </xf>
    <xf numFmtId="0" fontId="4" fillId="0" borderId="1" xfId="0" applyFont="1" applyBorder="1"/>
    <xf numFmtId="0" fontId="4" fillId="0" borderId="2" xfId="0" applyFont="1" applyBorder="1" applyAlignment="1">
      <alignment vertical="center"/>
    </xf>
    <xf numFmtId="0" fontId="9" fillId="0" borderId="2" xfId="0" applyFont="1" applyBorder="1"/>
    <xf numFmtId="0" fontId="4" fillId="0" borderId="2" xfId="0" applyFont="1" applyBorder="1"/>
    <xf numFmtId="0" fontId="4" fillId="0" borderId="3" xfId="0" applyFont="1" applyBorder="1"/>
    <xf numFmtId="3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center"/>
    </xf>
    <xf numFmtId="0" fontId="8" fillId="0" borderId="0" xfId="0" applyFont="1" applyAlignment="1">
      <alignment horizontal="center" vertical="center" wrapText="1"/>
    </xf>
    <xf numFmtId="3" fontId="8" fillId="0" borderId="0" xfId="0" applyNumberFormat="1" applyFont="1" applyAlignment="1">
      <alignment horizontal="center" vertical="center" wrapText="1"/>
    </xf>
    <xf numFmtId="3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vertical="center" wrapText="1"/>
    </xf>
    <xf numFmtId="0" fontId="4" fillId="0" borderId="1" xfId="0" applyFont="1" applyBorder="1" applyAlignment="1">
      <alignment wrapText="1"/>
    </xf>
    <xf numFmtId="0" fontId="10" fillId="4" borderId="4" xfId="1" applyFill="1" applyBorder="1" applyAlignment="1">
      <alignment horizontal="center"/>
    </xf>
    <xf numFmtId="0" fontId="8" fillId="0" borderId="0" xfId="0" applyFont="1" applyAlignment="1">
      <alignment horizontal="left" vertical="center"/>
    </xf>
    <xf numFmtId="3" fontId="4" fillId="0" borderId="0" xfId="0" applyNumberFormat="1" applyFont="1" applyAlignment="1">
      <alignment vertical="center"/>
    </xf>
    <xf numFmtId="0" fontId="3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</cellXfs>
  <cellStyles count="2">
    <cellStyle name="Hyperlink" xfId="1" builtinId="8"/>
    <cellStyle name="Normal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B3B3"/>
      <color rgb="FFF4F6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FSystem\ALL\Humans\Rentalls\Testings\KOGON%20YO%60L%20TA%60MIR%20QURILISH\ActReco\ActReco,%20KOGON%20YO%60L%20TA%60MIR%20QURILISH,%202025-09-04.xlsx" TargetMode="External"/><Relationship Id="rId1" Type="http://schemas.openxmlformats.org/officeDocument/2006/relationships/externalLinkPath" Target="/FSystem/ALL/Humans/Rentalls/Testings/KOGON%20YO%60L%20TA%60MIR%20QURILISH/ActReco/ActReco,%20KOGON%20YO%60L%20TA%60MIR%20QURILISH,%202025-09-0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pp"/>
      <sheetName val="Tool"/>
      <sheetName val="2025-03 (2)"/>
    </sheetNames>
    <sheetDataSet>
      <sheetData sheetId="0">
        <row r="3">
          <cell r="E3">
            <v>14419354.838709677</v>
          </cell>
        </row>
        <row r="4">
          <cell r="E4"/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E04E5-93C0-4B34-927D-B6A198944D74}">
  <sheetPr codeName="Sheet5"/>
  <dimension ref="A1:N252"/>
  <sheetViews>
    <sheetView tabSelected="1" zoomScale="85" zoomScaleNormal="85" workbookViewId="0">
      <selection activeCell="A7" sqref="A7:C7"/>
    </sheetView>
  </sheetViews>
  <sheetFormatPr defaultColWidth="9.23046875" defaultRowHeight="15.45" x14ac:dyDescent="0.4"/>
  <cols>
    <col min="1" max="1" width="9.23046875" style="18"/>
    <col min="2" max="2" width="10.53515625" style="28" customWidth="1"/>
    <col min="3" max="3" width="33.84375" style="23" customWidth="1"/>
    <col min="4" max="4" width="23" style="18" customWidth="1"/>
    <col min="5" max="6" width="17.3046875" style="18" customWidth="1"/>
    <col min="7" max="7" width="12.765625" customWidth="1"/>
    <col min="8" max="8" width="21.23046875" style="23" customWidth="1"/>
    <col min="9" max="9" width="16.921875" style="18" customWidth="1"/>
    <col min="10" max="10" width="20.23046875" style="18" customWidth="1"/>
    <col min="11" max="11" width="20.3046875" style="23" customWidth="1"/>
    <col min="12" max="12" width="16.765625" style="18" customWidth="1"/>
    <col min="13" max="13" width="18.84375" style="18" customWidth="1"/>
    <col min="14" max="14" width="14.53515625" style="18" customWidth="1"/>
    <col min="15" max="16384" width="9.23046875" style="18"/>
  </cols>
  <sheetData>
    <row r="1" spans="1:14" s="32" customFormat="1" ht="37.299999999999997" customHeight="1" thickBot="1" x14ac:dyDescent="0.45">
      <c r="A1" s="30" t="s">
        <v>37</v>
      </c>
      <c r="B1" s="29" t="s">
        <v>31</v>
      </c>
      <c r="C1" s="30" t="s">
        <v>25</v>
      </c>
      <c r="E1" s="30" t="s">
        <v>26</v>
      </c>
      <c r="G1" s="29" t="s">
        <v>34</v>
      </c>
      <c r="H1" s="31" t="s">
        <v>27</v>
      </c>
      <c r="I1" s="29" t="s">
        <v>32</v>
      </c>
      <c r="J1" s="29" t="s">
        <v>33</v>
      </c>
      <c r="K1" s="25" t="s">
        <v>24</v>
      </c>
      <c r="L1" s="25" t="s">
        <v>29</v>
      </c>
      <c r="M1" s="25" t="s">
        <v>30</v>
      </c>
      <c r="N1" s="30" t="s">
        <v>35</v>
      </c>
    </row>
    <row r="2" spans="1:14" s="20" customFormat="1" ht="19.399999999999999" customHeight="1" thickTop="1" thickBot="1" x14ac:dyDescent="0.4">
      <c r="C2" s="24"/>
      <c r="H2" s="24"/>
      <c r="J2" s="33"/>
      <c r="K2" s="24"/>
    </row>
    <row r="3" spans="1:14" s="19" customFormat="1" ht="22.1" customHeight="1" thickTop="1" x14ac:dyDescent="0.4">
      <c r="A3" s="35" t="s">
        <v>36</v>
      </c>
      <c r="B3" s="39" t="s">
        <v>40</v>
      </c>
      <c r="C3" s="38" t="s">
        <v>39</v>
      </c>
      <c r="G3" s="34" t="str">
        <f>HYPERLINK("d:\FSystem\ALL\Humans\Rentalls\Testings\KOGON YO`L TA`MIR QURILISH\ActReco\2025-09-01 23-44-38.xlsx", "Open Report")</f>
        <v>Open Report</v>
      </c>
      <c r="H3" s="21"/>
      <c r="K3" s="21"/>
    </row>
    <row r="4" spans="1:14" s="19" customFormat="1" ht="22.1" customHeight="1" x14ac:dyDescent="0.4">
      <c r="C4" s="21"/>
      <c r="H4" s="21"/>
      <c r="K4" s="21"/>
    </row>
    <row r="5" spans="1:14" s="19" customFormat="1" ht="22.1" customHeight="1" x14ac:dyDescent="0.4">
      <c r="C5" s="21"/>
      <c r="H5" s="21"/>
      <c r="K5" s="21"/>
    </row>
    <row r="6" spans="1:14" s="19" customFormat="1" ht="22.1" customHeight="1" x14ac:dyDescent="0.4">
      <c r="C6" s="21"/>
      <c r="D6" s="36">
        <f>[1]App!E3</f>
        <v>14419354.838709677</v>
      </c>
      <c r="H6" s="21"/>
      <c r="K6" s="21"/>
    </row>
    <row r="7" spans="1:14" s="19" customFormat="1" ht="22.1" customHeight="1" x14ac:dyDescent="0.4">
      <c r="B7" s="26"/>
      <c r="C7" s="37"/>
      <c r="D7" s="36">
        <f>[1]App!E4</f>
        <v>0</v>
      </c>
      <c r="H7" s="21"/>
      <c r="K7" s="21"/>
    </row>
    <row r="8" spans="1:14" s="19" customFormat="1" ht="22.1" customHeight="1" x14ac:dyDescent="0.4">
      <c r="B8" s="26"/>
      <c r="C8" s="21"/>
      <c r="H8" s="21"/>
      <c r="K8" s="21"/>
    </row>
    <row r="9" spans="1:14" s="19" customFormat="1" ht="22.1" customHeight="1" x14ac:dyDescent="0.4">
      <c r="C9" s="21"/>
      <c r="H9" s="21"/>
      <c r="K9" s="21"/>
    </row>
    <row r="10" spans="1:14" s="19" customFormat="1" ht="22.1" customHeight="1" x14ac:dyDescent="0.4">
      <c r="C10" s="21"/>
      <c r="H10" s="21"/>
      <c r="K10" s="21"/>
    </row>
    <row r="11" spans="1:14" s="19" customFormat="1" ht="22.1" customHeight="1" x14ac:dyDescent="0.4">
      <c r="C11" s="21" t="str" cm="1">
        <f t="array" ref="C11">BuildFullPath(C7)</f>
        <v>D:\FSystem\ALL\Humans\Rentalls\[]</v>
      </c>
      <c r="H11" s="21"/>
      <c r="K11" s="21"/>
    </row>
    <row r="12" spans="1:14" s="19" customFormat="1" ht="22.1" customHeight="1" x14ac:dyDescent="0.4">
      <c r="B12" s="25"/>
      <c r="C12" s="21"/>
      <c r="H12" s="21"/>
      <c r="K12" s="21"/>
    </row>
    <row r="13" spans="1:14" s="19" customFormat="1" ht="22.1" customHeight="1" x14ac:dyDescent="0.4">
      <c r="B13" s="26"/>
      <c r="C13" s="21"/>
      <c r="H13" s="21"/>
      <c r="K13" s="21"/>
    </row>
    <row r="14" spans="1:14" s="19" customFormat="1" ht="22.1" customHeight="1" x14ac:dyDescent="0.4">
      <c r="B14" s="25"/>
      <c r="C14" s="21"/>
      <c r="H14" s="21"/>
      <c r="K14" s="21"/>
    </row>
    <row r="15" spans="1:14" s="19" customFormat="1" ht="22.1" customHeight="1" x14ac:dyDescent="0.4">
      <c r="B15" s="25"/>
      <c r="C15" s="21"/>
      <c r="H15" s="21"/>
      <c r="K15" s="21"/>
    </row>
    <row r="16" spans="1:14" s="19" customFormat="1" ht="22.1" customHeight="1" x14ac:dyDescent="0.4">
      <c r="B16" s="26"/>
      <c r="C16" s="21"/>
      <c r="H16" s="21"/>
      <c r="K16" s="21"/>
    </row>
    <row r="17" spans="2:11" s="19" customFormat="1" ht="22.1" customHeight="1" x14ac:dyDescent="0.4">
      <c r="B17" s="26"/>
      <c r="C17" s="21"/>
      <c r="H17" s="21"/>
      <c r="K17" s="21"/>
    </row>
    <row r="18" spans="2:11" s="19" customFormat="1" ht="38.6" customHeight="1" x14ac:dyDescent="0.4">
      <c r="B18" s="29"/>
      <c r="C18" s="21"/>
      <c r="H18" s="21"/>
      <c r="K18" s="21"/>
    </row>
    <row r="19" spans="2:11" s="19" customFormat="1" ht="39" customHeight="1" x14ac:dyDescent="0.4">
      <c r="B19" s="29"/>
      <c r="C19" s="21"/>
      <c r="H19" s="21"/>
      <c r="K19" s="21"/>
    </row>
    <row r="20" spans="2:11" s="19" customFormat="1" ht="22.1" customHeight="1" x14ac:dyDescent="0.4">
      <c r="B20" s="25"/>
      <c r="C20" s="21"/>
      <c r="H20" s="21"/>
      <c r="K20" s="21"/>
    </row>
    <row r="21" spans="2:11" s="19" customFormat="1" ht="22.1" customHeight="1" x14ac:dyDescent="0.4">
      <c r="B21" s="25"/>
      <c r="C21" s="21"/>
      <c r="H21" s="21"/>
      <c r="K21" s="21"/>
    </row>
    <row r="22" spans="2:11" s="19" customFormat="1" ht="22.1" customHeight="1" x14ac:dyDescent="0.4">
      <c r="C22" s="21"/>
      <c r="H22" s="21"/>
      <c r="K22" s="21"/>
    </row>
    <row r="23" spans="2:11" s="19" customFormat="1" ht="22.1" customHeight="1" x14ac:dyDescent="0.4">
      <c r="B23" s="25"/>
      <c r="C23" s="21"/>
      <c r="H23" s="21"/>
      <c r="K23" s="21"/>
    </row>
    <row r="24" spans="2:11" s="19" customFormat="1" ht="22.1" customHeight="1" x14ac:dyDescent="0.4">
      <c r="B24" s="25"/>
      <c r="C24" s="21"/>
      <c r="H24" s="21"/>
      <c r="K24" s="21"/>
    </row>
    <row r="25" spans="2:11" s="19" customFormat="1" ht="22.1" customHeight="1" x14ac:dyDescent="0.4">
      <c r="B25" s="25"/>
      <c r="C25" s="21"/>
      <c r="H25" s="21"/>
      <c r="K25" s="21"/>
    </row>
    <row r="26" spans="2:11" s="19" customFormat="1" ht="22.1" customHeight="1" x14ac:dyDescent="0.4">
      <c r="B26" s="25"/>
      <c r="C26" s="21"/>
      <c r="H26" s="21"/>
      <c r="K26" s="21"/>
    </row>
    <row r="27" spans="2:11" s="19" customFormat="1" ht="22.1" customHeight="1" x14ac:dyDescent="0.4">
      <c r="B27" s="25"/>
      <c r="C27" s="21"/>
      <c r="H27" s="21"/>
      <c r="K27" s="21"/>
    </row>
    <row r="28" spans="2:11" s="19" customFormat="1" ht="22.1" customHeight="1" x14ac:dyDescent="0.4">
      <c r="B28" s="25"/>
      <c r="C28" s="21"/>
      <c r="H28" s="21"/>
      <c r="K28" s="21"/>
    </row>
    <row r="29" spans="2:11" s="19" customFormat="1" ht="22.1" customHeight="1" x14ac:dyDescent="0.4">
      <c r="B29" s="25"/>
      <c r="C29" s="21"/>
      <c r="H29" s="21"/>
      <c r="K29" s="21"/>
    </row>
    <row r="30" spans="2:11" s="19" customFormat="1" ht="22.1" customHeight="1" x14ac:dyDescent="0.4">
      <c r="B30" s="25"/>
      <c r="C30" s="21"/>
      <c r="H30" s="21"/>
      <c r="K30" s="21"/>
    </row>
    <row r="31" spans="2:11" s="19" customFormat="1" ht="22.1" customHeight="1" x14ac:dyDescent="0.4">
      <c r="B31" s="25"/>
      <c r="C31" s="21"/>
      <c r="H31" s="21"/>
      <c r="K31" s="21"/>
    </row>
    <row r="32" spans="2:11" s="19" customFormat="1" ht="22.1" customHeight="1" x14ac:dyDescent="0.4">
      <c r="B32" s="25"/>
      <c r="C32" s="21"/>
      <c r="H32" s="21"/>
      <c r="K32" s="21"/>
    </row>
    <row r="33" spans="2:11" s="19" customFormat="1" ht="22.1" customHeight="1" x14ac:dyDescent="0.4">
      <c r="B33" s="25"/>
      <c r="C33" s="21"/>
      <c r="H33" s="21"/>
      <c r="K33" s="21"/>
    </row>
    <row r="34" spans="2:11" s="19" customFormat="1" ht="22.1" customHeight="1" x14ac:dyDescent="0.4">
      <c r="B34" s="25"/>
      <c r="C34" s="21"/>
      <c r="H34" s="21"/>
      <c r="K34" s="21"/>
    </row>
    <row r="35" spans="2:11" s="19" customFormat="1" ht="22.1" customHeight="1" x14ac:dyDescent="0.4">
      <c r="B35" s="25"/>
      <c r="C35" s="21"/>
      <c r="H35" s="21"/>
      <c r="K35" s="21"/>
    </row>
    <row r="36" spans="2:11" s="19" customFormat="1" ht="22.1" customHeight="1" x14ac:dyDescent="0.4">
      <c r="B36" s="25"/>
      <c r="C36" s="21"/>
      <c r="H36" s="21"/>
      <c r="K36" s="21"/>
    </row>
    <row r="37" spans="2:11" s="19" customFormat="1" ht="22.1" customHeight="1" x14ac:dyDescent="0.4">
      <c r="B37" s="25"/>
      <c r="C37" s="21"/>
      <c r="H37" s="21"/>
      <c r="K37" s="21"/>
    </row>
    <row r="38" spans="2:11" s="19" customFormat="1" ht="22.1" customHeight="1" x14ac:dyDescent="0.4">
      <c r="B38" s="25"/>
      <c r="C38" s="21"/>
      <c r="H38" s="21"/>
      <c r="K38" s="21"/>
    </row>
    <row r="39" spans="2:11" s="19" customFormat="1" ht="22.1" customHeight="1" x14ac:dyDescent="0.4">
      <c r="B39" s="25"/>
      <c r="C39" s="21"/>
      <c r="H39" s="21"/>
      <c r="K39" s="21"/>
    </row>
    <row r="40" spans="2:11" s="19" customFormat="1" ht="22.1" customHeight="1" x14ac:dyDescent="0.4">
      <c r="B40" s="25"/>
      <c r="C40" s="21"/>
      <c r="H40" s="21"/>
      <c r="K40" s="21"/>
    </row>
    <row r="41" spans="2:11" s="19" customFormat="1" ht="22.1" customHeight="1" x14ac:dyDescent="0.4">
      <c r="B41" s="25"/>
      <c r="C41" s="21"/>
      <c r="H41" s="21"/>
      <c r="K41" s="21"/>
    </row>
    <row r="42" spans="2:11" s="19" customFormat="1" ht="22.1" customHeight="1" x14ac:dyDescent="0.4">
      <c r="B42" s="25"/>
      <c r="C42" s="21"/>
      <c r="H42" s="21"/>
      <c r="K42" s="21"/>
    </row>
    <row r="43" spans="2:11" s="19" customFormat="1" ht="22.1" customHeight="1" x14ac:dyDescent="0.4">
      <c r="B43" s="25"/>
      <c r="C43" s="21"/>
      <c r="H43" s="21"/>
      <c r="K43" s="21"/>
    </row>
    <row r="44" spans="2:11" s="19" customFormat="1" ht="22.1" customHeight="1" x14ac:dyDescent="0.4">
      <c r="B44" s="25" t="s">
        <v>28</v>
      </c>
      <c r="C44" s="21"/>
      <c r="H44" s="21"/>
      <c r="K44" s="21"/>
    </row>
    <row r="45" spans="2:11" s="19" customFormat="1" ht="22.1" customHeight="1" x14ac:dyDescent="0.4">
      <c r="B45" s="25" t="s">
        <v>28</v>
      </c>
      <c r="C45" s="21"/>
      <c r="H45" s="21"/>
      <c r="K45" s="21"/>
    </row>
    <row r="46" spans="2:11" s="19" customFormat="1" ht="22.1" customHeight="1" x14ac:dyDescent="0.4">
      <c r="B46" s="25" t="s">
        <v>28</v>
      </c>
      <c r="C46" s="21"/>
      <c r="H46" s="21"/>
      <c r="K46" s="21"/>
    </row>
    <row r="47" spans="2:11" s="17" customFormat="1" x14ac:dyDescent="0.3">
      <c r="B47" s="25" t="s">
        <v>28</v>
      </c>
      <c r="C47" s="22"/>
      <c r="H47" s="22"/>
      <c r="K47" s="22"/>
    </row>
    <row r="48" spans="2:11" s="17" customFormat="1" x14ac:dyDescent="0.3">
      <c r="B48" s="25"/>
      <c r="C48" s="22"/>
      <c r="H48" s="22"/>
      <c r="K48" s="22"/>
    </row>
    <row r="49" spans="2:11" s="17" customFormat="1" x14ac:dyDescent="0.3">
      <c r="B49" s="25"/>
      <c r="C49" s="22"/>
      <c r="H49" s="22"/>
      <c r="K49" s="22"/>
    </row>
    <row r="50" spans="2:11" s="17" customFormat="1" x14ac:dyDescent="0.3">
      <c r="B50" s="25"/>
      <c r="C50" s="22"/>
      <c r="H50" s="22"/>
      <c r="K50" s="22"/>
    </row>
    <row r="51" spans="2:11" s="17" customFormat="1" x14ac:dyDescent="0.3">
      <c r="B51" s="25"/>
      <c r="C51" s="22"/>
      <c r="H51" s="22"/>
      <c r="K51" s="22"/>
    </row>
    <row r="52" spans="2:11" s="17" customFormat="1" x14ac:dyDescent="0.3">
      <c r="B52" s="25"/>
      <c r="C52" s="22"/>
      <c r="H52" s="22"/>
      <c r="K52" s="22"/>
    </row>
    <row r="53" spans="2:11" x14ac:dyDescent="0.4">
      <c r="B53" s="25"/>
    </row>
    <row r="54" spans="2:11" x14ac:dyDescent="0.4">
      <c r="B54" s="25"/>
    </row>
    <row r="55" spans="2:11" x14ac:dyDescent="0.4">
      <c r="B55" s="25"/>
    </row>
    <row r="56" spans="2:11" x14ac:dyDescent="0.4">
      <c r="B56" s="25"/>
    </row>
    <row r="57" spans="2:11" x14ac:dyDescent="0.4">
      <c r="B57" s="25"/>
    </row>
    <row r="58" spans="2:11" x14ac:dyDescent="0.4">
      <c r="B58" s="25"/>
    </row>
    <row r="59" spans="2:11" x14ac:dyDescent="0.4">
      <c r="B59" s="25"/>
    </row>
    <row r="60" spans="2:11" x14ac:dyDescent="0.4">
      <c r="B60" s="25"/>
    </row>
    <row r="61" spans="2:11" x14ac:dyDescent="0.4">
      <c r="B61" s="25"/>
    </row>
    <row r="62" spans="2:11" x14ac:dyDescent="0.4">
      <c r="B62" s="25"/>
    </row>
    <row r="63" spans="2:11" x14ac:dyDescent="0.4">
      <c r="B63" s="25"/>
    </row>
    <row r="64" spans="2:11" x14ac:dyDescent="0.4">
      <c r="B64" s="25"/>
    </row>
    <row r="65" spans="2:2" x14ac:dyDescent="0.4">
      <c r="B65" s="25"/>
    </row>
    <row r="66" spans="2:2" x14ac:dyDescent="0.4">
      <c r="B66" s="25"/>
    </row>
    <row r="67" spans="2:2" x14ac:dyDescent="0.4">
      <c r="B67" s="25"/>
    </row>
    <row r="68" spans="2:2" x14ac:dyDescent="0.4">
      <c r="B68" s="25"/>
    </row>
    <row r="69" spans="2:2" x14ac:dyDescent="0.4">
      <c r="B69" s="25"/>
    </row>
    <row r="70" spans="2:2" x14ac:dyDescent="0.4">
      <c r="B70" s="25"/>
    </row>
    <row r="71" spans="2:2" x14ac:dyDescent="0.4">
      <c r="B71" s="25"/>
    </row>
    <row r="72" spans="2:2" x14ac:dyDescent="0.4">
      <c r="B72" s="25"/>
    </row>
    <row r="73" spans="2:2" x14ac:dyDescent="0.4">
      <c r="B73" s="25"/>
    </row>
    <row r="74" spans="2:2" x14ac:dyDescent="0.4">
      <c r="B74" s="25"/>
    </row>
    <row r="75" spans="2:2" x14ac:dyDescent="0.4">
      <c r="B75" s="25"/>
    </row>
    <row r="76" spans="2:2" x14ac:dyDescent="0.4">
      <c r="B76" s="25"/>
    </row>
    <row r="77" spans="2:2" x14ac:dyDescent="0.4">
      <c r="B77" s="25"/>
    </row>
    <row r="78" spans="2:2" x14ac:dyDescent="0.4">
      <c r="B78" s="25"/>
    </row>
    <row r="79" spans="2:2" x14ac:dyDescent="0.4">
      <c r="B79" s="25"/>
    </row>
    <row r="80" spans="2:2" x14ac:dyDescent="0.4">
      <c r="B80" s="25"/>
    </row>
    <row r="81" spans="2:2" x14ac:dyDescent="0.4">
      <c r="B81" s="25"/>
    </row>
    <row r="82" spans="2:2" x14ac:dyDescent="0.4">
      <c r="B82" s="25"/>
    </row>
    <row r="83" spans="2:2" x14ac:dyDescent="0.4">
      <c r="B83" s="25"/>
    </row>
    <row r="84" spans="2:2" x14ac:dyDescent="0.4">
      <c r="B84" s="25"/>
    </row>
    <row r="85" spans="2:2" x14ac:dyDescent="0.4">
      <c r="B85" s="25"/>
    </row>
    <row r="86" spans="2:2" x14ac:dyDescent="0.4">
      <c r="B86" s="25"/>
    </row>
    <row r="87" spans="2:2" x14ac:dyDescent="0.4">
      <c r="B87" s="25"/>
    </row>
    <row r="88" spans="2:2" x14ac:dyDescent="0.4">
      <c r="B88" s="25"/>
    </row>
    <row r="89" spans="2:2" x14ac:dyDescent="0.4">
      <c r="B89" s="25"/>
    </row>
    <row r="90" spans="2:2" x14ac:dyDescent="0.4">
      <c r="B90" s="25"/>
    </row>
    <row r="91" spans="2:2" x14ac:dyDescent="0.4">
      <c r="B91" s="25"/>
    </row>
    <row r="92" spans="2:2" x14ac:dyDescent="0.4">
      <c r="B92" s="25"/>
    </row>
    <row r="93" spans="2:2" x14ac:dyDescent="0.4">
      <c r="B93" s="25"/>
    </row>
    <row r="94" spans="2:2" x14ac:dyDescent="0.4">
      <c r="B94" s="27"/>
    </row>
    <row r="95" spans="2:2" x14ac:dyDescent="0.4">
      <c r="B95" s="27"/>
    </row>
    <row r="96" spans="2:2" x14ac:dyDescent="0.4">
      <c r="B96" s="27"/>
    </row>
    <row r="97" spans="2:2" x14ac:dyDescent="0.4">
      <c r="B97" s="27"/>
    </row>
    <row r="98" spans="2:2" x14ac:dyDescent="0.4">
      <c r="B98" s="27"/>
    </row>
    <row r="99" spans="2:2" x14ac:dyDescent="0.4">
      <c r="B99" s="27"/>
    </row>
    <row r="100" spans="2:2" x14ac:dyDescent="0.4">
      <c r="B100" s="27"/>
    </row>
    <row r="101" spans="2:2" x14ac:dyDescent="0.4">
      <c r="B101" s="27"/>
    </row>
    <row r="102" spans="2:2" x14ac:dyDescent="0.4">
      <c r="B102" s="27"/>
    </row>
    <row r="103" spans="2:2" x14ac:dyDescent="0.4">
      <c r="B103" s="27"/>
    </row>
    <row r="104" spans="2:2" x14ac:dyDescent="0.4">
      <c r="B104" s="27"/>
    </row>
    <row r="105" spans="2:2" x14ac:dyDescent="0.4">
      <c r="B105" s="27"/>
    </row>
    <row r="106" spans="2:2" x14ac:dyDescent="0.4">
      <c r="B106" s="27"/>
    </row>
    <row r="107" spans="2:2" x14ac:dyDescent="0.4">
      <c r="B107" s="27"/>
    </row>
    <row r="108" spans="2:2" x14ac:dyDescent="0.4">
      <c r="B108" s="27"/>
    </row>
    <row r="109" spans="2:2" x14ac:dyDescent="0.4">
      <c r="B109" s="27"/>
    </row>
    <row r="110" spans="2:2" x14ac:dyDescent="0.4">
      <c r="B110" s="27"/>
    </row>
    <row r="111" spans="2:2" x14ac:dyDescent="0.4">
      <c r="B111" s="27"/>
    </row>
    <row r="112" spans="2:2" x14ac:dyDescent="0.4">
      <c r="B112" s="27"/>
    </row>
    <row r="113" spans="2:2" x14ac:dyDescent="0.4">
      <c r="B113" s="27"/>
    </row>
    <row r="114" spans="2:2" x14ac:dyDescent="0.4">
      <c r="B114" s="27"/>
    </row>
    <row r="115" spans="2:2" x14ac:dyDescent="0.4">
      <c r="B115" s="27"/>
    </row>
    <row r="116" spans="2:2" x14ac:dyDescent="0.4">
      <c r="B116" s="27"/>
    </row>
    <row r="117" spans="2:2" x14ac:dyDescent="0.4">
      <c r="B117" s="27"/>
    </row>
    <row r="118" spans="2:2" x14ac:dyDescent="0.4">
      <c r="B118" s="27"/>
    </row>
    <row r="119" spans="2:2" x14ac:dyDescent="0.4">
      <c r="B119" s="27"/>
    </row>
    <row r="120" spans="2:2" x14ac:dyDescent="0.4">
      <c r="B120" s="27"/>
    </row>
    <row r="121" spans="2:2" x14ac:dyDescent="0.4">
      <c r="B121" s="27"/>
    </row>
    <row r="122" spans="2:2" x14ac:dyDescent="0.4">
      <c r="B122" s="27"/>
    </row>
    <row r="123" spans="2:2" x14ac:dyDescent="0.4">
      <c r="B123" s="27"/>
    </row>
    <row r="124" spans="2:2" x14ac:dyDescent="0.4">
      <c r="B124" s="27"/>
    </row>
    <row r="125" spans="2:2" x14ac:dyDescent="0.4">
      <c r="B125" s="27"/>
    </row>
    <row r="126" spans="2:2" x14ac:dyDescent="0.4">
      <c r="B126" s="27"/>
    </row>
    <row r="127" spans="2:2" x14ac:dyDescent="0.4">
      <c r="B127" s="27"/>
    </row>
    <row r="128" spans="2:2" x14ac:dyDescent="0.4">
      <c r="B128" s="27"/>
    </row>
    <row r="129" spans="2:2" x14ac:dyDescent="0.4">
      <c r="B129" s="27"/>
    </row>
    <row r="130" spans="2:2" x14ac:dyDescent="0.4">
      <c r="B130" s="27"/>
    </row>
    <row r="131" spans="2:2" x14ac:dyDescent="0.4">
      <c r="B131" s="27"/>
    </row>
    <row r="132" spans="2:2" x14ac:dyDescent="0.4">
      <c r="B132" s="27"/>
    </row>
    <row r="133" spans="2:2" x14ac:dyDescent="0.4">
      <c r="B133" s="27"/>
    </row>
    <row r="134" spans="2:2" x14ac:dyDescent="0.4">
      <c r="B134" s="27"/>
    </row>
    <row r="135" spans="2:2" x14ac:dyDescent="0.4">
      <c r="B135" s="27"/>
    </row>
    <row r="136" spans="2:2" x14ac:dyDescent="0.4">
      <c r="B136" s="27"/>
    </row>
    <row r="137" spans="2:2" x14ac:dyDescent="0.4">
      <c r="B137" s="27"/>
    </row>
    <row r="138" spans="2:2" x14ac:dyDescent="0.4">
      <c r="B138" s="27"/>
    </row>
    <row r="139" spans="2:2" x14ac:dyDescent="0.4">
      <c r="B139" s="27"/>
    </row>
    <row r="140" spans="2:2" x14ac:dyDescent="0.4">
      <c r="B140" s="27"/>
    </row>
    <row r="141" spans="2:2" x14ac:dyDescent="0.4">
      <c r="B141" s="27"/>
    </row>
    <row r="142" spans="2:2" x14ac:dyDescent="0.4">
      <c r="B142" s="27"/>
    </row>
    <row r="143" spans="2:2" x14ac:dyDescent="0.4">
      <c r="B143" s="27"/>
    </row>
    <row r="144" spans="2:2" x14ac:dyDescent="0.4">
      <c r="B144" s="27"/>
    </row>
    <row r="145" spans="2:2" x14ac:dyDescent="0.4">
      <c r="B145" s="27"/>
    </row>
    <row r="146" spans="2:2" x14ac:dyDescent="0.4">
      <c r="B146" s="27"/>
    </row>
    <row r="147" spans="2:2" x14ac:dyDescent="0.4">
      <c r="B147" s="27"/>
    </row>
    <row r="148" spans="2:2" x14ac:dyDescent="0.4">
      <c r="B148" s="27"/>
    </row>
    <row r="149" spans="2:2" x14ac:dyDescent="0.4">
      <c r="B149" s="27"/>
    </row>
    <row r="150" spans="2:2" x14ac:dyDescent="0.4">
      <c r="B150" s="27"/>
    </row>
    <row r="151" spans="2:2" x14ac:dyDescent="0.4">
      <c r="B151" s="27"/>
    </row>
    <row r="152" spans="2:2" x14ac:dyDescent="0.4">
      <c r="B152" s="27"/>
    </row>
    <row r="153" spans="2:2" x14ac:dyDescent="0.4">
      <c r="B153" s="27"/>
    </row>
    <row r="154" spans="2:2" x14ac:dyDescent="0.4">
      <c r="B154" s="27"/>
    </row>
    <row r="155" spans="2:2" x14ac:dyDescent="0.4">
      <c r="B155" s="27"/>
    </row>
    <row r="156" spans="2:2" x14ac:dyDescent="0.4">
      <c r="B156" s="27"/>
    </row>
    <row r="157" spans="2:2" x14ac:dyDescent="0.4">
      <c r="B157" s="27"/>
    </row>
    <row r="158" spans="2:2" x14ac:dyDescent="0.4">
      <c r="B158" s="27"/>
    </row>
    <row r="159" spans="2:2" x14ac:dyDescent="0.4">
      <c r="B159" s="27"/>
    </row>
    <row r="160" spans="2:2" x14ac:dyDescent="0.4">
      <c r="B160" s="27"/>
    </row>
    <row r="161" spans="2:2" x14ac:dyDescent="0.4">
      <c r="B161" s="27"/>
    </row>
    <row r="162" spans="2:2" x14ac:dyDescent="0.4">
      <c r="B162" s="27"/>
    </row>
    <row r="163" spans="2:2" x14ac:dyDescent="0.4">
      <c r="B163" s="27"/>
    </row>
    <row r="164" spans="2:2" x14ac:dyDescent="0.4">
      <c r="B164" s="27"/>
    </row>
    <row r="165" spans="2:2" x14ac:dyDescent="0.4">
      <c r="B165" s="27"/>
    </row>
    <row r="166" spans="2:2" x14ac:dyDescent="0.4">
      <c r="B166" s="27"/>
    </row>
    <row r="167" spans="2:2" x14ac:dyDescent="0.4">
      <c r="B167" s="27"/>
    </row>
    <row r="168" spans="2:2" x14ac:dyDescent="0.4">
      <c r="B168" s="27"/>
    </row>
    <row r="169" spans="2:2" x14ac:dyDescent="0.4">
      <c r="B169" s="27"/>
    </row>
    <row r="170" spans="2:2" x14ac:dyDescent="0.4">
      <c r="B170" s="27"/>
    </row>
    <row r="171" spans="2:2" x14ac:dyDescent="0.4">
      <c r="B171" s="27"/>
    </row>
    <row r="172" spans="2:2" x14ac:dyDescent="0.4">
      <c r="B172" s="27"/>
    </row>
    <row r="173" spans="2:2" x14ac:dyDescent="0.4">
      <c r="B173" s="27"/>
    </row>
    <row r="174" spans="2:2" x14ac:dyDescent="0.4">
      <c r="B174" s="27"/>
    </row>
    <row r="175" spans="2:2" x14ac:dyDescent="0.4">
      <c r="B175" s="27"/>
    </row>
    <row r="176" spans="2:2" x14ac:dyDescent="0.4">
      <c r="B176" s="27"/>
    </row>
    <row r="177" spans="2:2" x14ac:dyDescent="0.4">
      <c r="B177" s="27"/>
    </row>
    <row r="178" spans="2:2" x14ac:dyDescent="0.4">
      <c r="B178" s="27"/>
    </row>
    <row r="179" spans="2:2" x14ac:dyDescent="0.4">
      <c r="B179" s="27"/>
    </row>
    <row r="180" spans="2:2" x14ac:dyDescent="0.4">
      <c r="B180" s="27"/>
    </row>
    <row r="181" spans="2:2" x14ac:dyDescent="0.4">
      <c r="B181" s="27"/>
    </row>
    <row r="182" spans="2:2" x14ac:dyDescent="0.4">
      <c r="B182" s="27"/>
    </row>
    <row r="183" spans="2:2" x14ac:dyDescent="0.4">
      <c r="B183" s="27"/>
    </row>
    <row r="184" spans="2:2" x14ac:dyDescent="0.4">
      <c r="B184" s="27"/>
    </row>
    <row r="185" spans="2:2" x14ac:dyDescent="0.4">
      <c r="B185" s="27"/>
    </row>
    <row r="186" spans="2:2" x14ac:dyDescent="0.4">
      <c r="B186" s="27"/>
    </row>
    <row r="187" spans="2:2" x14ac:dyDescent="0.4">
      <c r="B187" s="27"/>
    </row>
    <row r="188" spans="2:2" x14ac:dyDescent="0.4">
      <c r="B188" s="27"/>
    </row>
    <row r="189" spans="2:2" x14ac:dyDescent="0.4">
      <c r="B189" s="27"/>
    </row>
    <row r="190" spans="2:2" x14ac:dyDescent="0.4">
      <c r="B190" s="27"/>
    </row>
    <row r="191" spans="2:2" x14ac:dyDescent="0.4">
      <c r="B191" s="27"/>
    </row>
    <row r="192" spans="2:2" x14ac:dyDescent="0.4">
      <c r="B192" s="27"/>
    </row>
    <row r="193" spans="2:2" x14ac:dyDescent="0.4">
      <c r="B193" s="27"/>
    </row>
    <row r="194" spans="2:2" x14ac:dyDescent="0.4">
      <c r="B194" s="27"/>
    </row>
    <row r="195" spans="2:2" x14ac:dyDescent="0.4">
      <c r="B195" s="27"/>
    </row>
    <row r="196" spans="2:2" x14ac:dyDescent="0.4">
      <c r="B196" s="27"/>
    </row>
    <row r="197" spans="2:2" x14ac:dyDescent="0.4">
      <c r="B197" s="27"/>
    </row>
    <row r="198" spans="2:2" x14ac:dyDescent="0.4">
      <c r="B198" s="27"/>
    </row>
    <row r="199" spans="2:2" x14ac:dyDescent="0.4">
      <c r="B199" s="27"/>
    </row>
    <row r="200" spans="2:2" x14ac:dyDescent="0.4">
      <c r="B200" s="27"/>
    </row>
    <row r="201" spans="2:2" x14ac:dyDescent="0.4">
      <c r="B201" s="27"/>
    </row>
    <row r="202" spans="2:2" x14ac:dyDescent="0.4">
      <c r="B202" s="27"/>
    </row>
    <row r="203" spans="2:2" x14ac:dyDescent="0.4">
      <c r="B203" s="27"/>
    </row>
    <row r="204" spans="2:2" x14ac:dyDescent="0.4">
      <c r="B204" s="27"/>
    </row>
    <row r="205" spans="2:2" x14ac:dyDescent="0.4">
      <c r="B205" s="27"/>
    </row>
    <row r="206" spans="2:2" x14ac:dyDescent="0.4">
      <c r="B206" s="27"/>
    </row>
    <row r="207" spans="2:2" x14ac:dyDescent="0.4">
      <c r="B207" s="27"/>
    </row>
    <row r="208" spans="2:2" x14ac:dyDescent="0.4">
      <c r="B208" s="27"/>
    </row>
    <row r="209" spans="2:2" x14ac:dyDescent="0.4">
      <c r="B209" s="27"/>
    </row>
    <row r="210" spans="2:2" x14ac:dyDescent="0.4">
      <c r="B210" s="27"/>
    </row>
    <row r="211" spans="2:2" x14ac:dyDescent="0.4">
      <c r="B211" s="27"/>
    </row>
    <row r="212" spans="2:2" x14ac:dyDescent="0.4">
      <c r="B212" s="27"/>
    </row>
    <row r="213" spans="2:2" x14ac:dyDescent="0.4">
      <c r="B213" s="27"/>
    </row>
    <row r="214" spans="2:2" x14ac:dyDescent="0.4">
      <c r="B214" s="27"/>
    </row>
    <row r="215" spans="2:2" x14ac:dyDescent="0.4">
      <c r="B215" s="27"/>
    </row>
    <row r="216" spans="2:2" x14ac:dyDescent="0.4">
      <c r="B216" s="27"/>
    </row>
    <row r="217" spans="2:2" x14ac:dyDescent="0.4">
      <c r="B217" s="27"/>
    </row>
    <row r="218" spans="2:2" x14ac:dyDescent="0.4">
      <c r="B218" s="27"/>
    </row>
    <row r="219" spans="2:2" x14ac:dyDescent="0.4">
      <c r="B219" s="27"/>
    </row>
    <row r="220" spans="2:2" x14ac:dyDescent="0.4">
      <c r="B220" s="27"/>
    </row>
    <row r="221" spans="2:2" x14ac:dyDescent="0.4">
      <c r="B221" s="27"/>
    </row>
    <row r="222" spans="2:2" x14ac:dyDescent="0.4">
      <c r="B222" s="27"/>
    </row>
    <row r="223" spans="2:2" x14ac:dyDescent="0.4">
      <c r="B223" s="27"/>
    </row>
    <row r="224" spans="2:2" x14ac:dyDescent="0.4">
      <c r="B224" s="27"/>
    </row>
    <row r="225" spans="2:2" x14ac:dyDescent="0.4">
      <c r="B225" s="27"/>
    </row>
    <row r="226" spans="2:2" x14ac:dyDescent="0.4">
      <c r="B226" s="27"/>
    </row>
    <row r="227" spans="2:2" x14ac:dyDescent="0.4">
      <c r="B227" s="27"/>
    </row>
    <row r="228" spans="2:2" x14ac:dyDescent="0.4">
      <c r="B228" s="27"/>
    </row>
    <row r="229" spans="2:2" x14ac:dyDescent="0.4">
      <c r="B229" s="27"/>
    </row>
    <row r="230" spans="2:2" x14ac:dyDescent="0.4">
      <c r="B230" s="27"/>
    </row>
    <row r="231" spans="2:2" x14ac:dyDescent="0.4">
      <c r="B231" s="27"/>
    </row>
    <row r="232" spans="2:2" x14ac:dyDescent="0.4">
      <c r="B232" s="27"/>
    </row>
    <row r="233" spans="2:2" x14ac:dyDescent="0.4">
      <c r="B233" s="27"/>
    </row>
    <row r="234" spans="2:2" x14ac:dyDescent="0.4">
      <c r="B234" s="27"/>
    </row>
    <row r="235" spans="2:2" x14ac:dyDescent="0.4">
      <c r="B235" s="27"/>
    </row>
    <row r="236" spans="2:2" x14ac:dyDescent="0.4">
      <c r="B236" s="27"/>
    </row>
    <row r="237" spans="2:2" x14ac:dyDescent="0.4">
      <c r="B237" s="27"/>
    </row>
    <row r="238" spans="2:2" x14ac:dyDescent="0.4">
      <c r="B238" s="27"/>
    </row>
    <row r="239" spans="2:2" x14ac:dyDescent="0.4">
      <c r="B239" s="27"/>
    </row>
    <row r="240" spans="2:2" x14ac:dyDescent="0.4">
      <c r="B240" s="27"/>
    </row>
    <row r="241" spans="2:2" x14ac:dyDescent="0.4">
      <c r="B241" s="27"/>
    </row>
    <row r="242" spans="2:2" x14ac:dyDescent="0.4">
      <c r="B242" s="27"/>
    </row>
    <row r="243" spans="2:2" x14ac:dyDescent="0.4">
      <c r="B243" s="27"/>
    </row>
    <row r="244" spans="2:2" x14ac:dyDescent="0.4">
      <c r="B244" s="27"/>
    </row>
    <row r="245" spans="2:2" x14ac:dyDescent="0.4">
      <c r="B245" s="27"/>
    </row>
    <row r="246" spans="2:2" x14ac:dyDescent="0.4">
      <c r="B246" s="27"/>
    </row>
    <row r="247" spans="2:2" x14ac:dyDescent="0.4">
      <c r="B247" s="27"/>
    </row>
    <row r="248" spans="2:2" x14ac:dyDescent="0.4">
      <c r="B248" s="27"/>
    </row>
    <row r="249" spans="2:2" x14ac:dyDescent="0.4">
      <c r="B249" s="27"/>
    </row>
    <row r="250" spans="2:2" x14ac:dyDescent="0.4">
      <c r="B250" s="27"/>
    </row>
    <row r="251" spans="2:2" x14ac:dyDescent="0.4">
      <c r="B251" s="27"/>
    </row>
    <row r="252" spans="2:2" x14ac:dyDescent="0.4">
      <c r="B252" s="27"/>
    </row>
  </sheetData>
  <conditionalFormatting sqref="B15">
    <cfRule type="expression" dxfId="0" priority="2">
      <formula>#REF!="Да"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36E6A-7F99-4D92-993F-B13961D93973}">
  <sheetPr codeName="Sheet1"/>
  <dimension ref="A1:B1"/>
  <sheetViews>
    <sheetView workbookViewId="0">
      <selection activeCell="B1" sqref="B1"/>
    </sheetView>
  </sheetViews>
  <sheetFormatPr defaultRowHeight="14.6" x14ac:dyDescent="0.4"/>
  <cols>
    <col min="1" max="1" width="105.61328125" customWidth="1"/>
  </cols>
  <sheetData>
    <row r="1" spans="1:2" x14ac:dyDescent="0.4">
      <c r="A1" t="s">
        <v>38</v>
      </c>
      <c r="B1" t="e" cm="1">
        <f t="array" aca="1" ref="B1" ca="1">E8LET(
    path, A1,
    lastPos, FIND("¶",SUBSTITUTE(path,"\","¶",LEN(path)-LEN(SUBSTITUTE(path,"\","")))),
    folder, LEFT(path,lastPos),
    fname, MID(path,lastPos+1,999),
    UPPER(LEFT(path,1)) &amp; MID(folder,2,999) &amp; "[" &amp; fname &amp; "]"
)</f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18B0E-337D-4DEA-BB8F-71A9EA169FB9}">
  <sheetPr codeName="Sheet6"/>
  <dimension ref="A1:J1048576"/>
  <sheetViews>
    <sheetView topLeftCell="A12" workbookViewId="0">
      <selection activeCell="A23" sqref="A23"/>
    </sheetView>
  </sheetViews>
  <sheetFormatPr defaultColWidth="9.23046875" defaultRowHeight="17.600000000000001" x14ac:dyDescent="0.4"/>
  <cols>
    <col min="1" max="1" width="19.84375" style="4" customWidth="1"/>
    <col min="2" max="2" width="47.69140625" style="3" customWidth="1"/>
    <col min="3" max="4" width="14.3046875" style="3" customWidth="1"/>
    <col min="5" max="5" width="15.3046875" style="3" customWidth="1"/>
    <col min="6" max="6" width="18.4609375" style="5" customWidth="1"/>
    <col min="7" max="7" width="22.4609375" style="8" customWidth="1"/>
    <col min="8" max="8" width="0.69140625" style="16" customWidth="1"/>
    <col min="9" max="9" width="43" style="3" customWidth="1"/>
    <col min="10" max="10" width="23.53515625" style="8" customWidth="1"/>
    <col min="11" max="16384" width="9.23046875" style="3"/>
  </cols>
  <sheetData>
    <row r="1" spans="1:10" s="6" customFormat="1" ht="35.15" x14ac:dyDescent="0.4">
      <c r="A1" s="7"/>
      <c r="B1" s="6" t="s">
        <v>0</v>
      </c>
      <c r="C1" s="6" t="s">
        <v>6</v>
      </c>
      <c r="D1" s="6" t="s">
        <v>11</v>
      </c>
      <c r="E1" s="6" t="s">
        <v>1</v>
      </c>
      <c r="F1" s="6" t="s">
        <v>13</v>
      </c>
      <c r="G1" s="9" t="s">
        <v>12</v>
      </c>
      <c r="H1" s="15"/>
    </row>
    <row r="2" spans="1:10" s="11" customFormat="1" ht="3" customHeight="1" x14ac:dyDescent="0.4">
      <c r="A2" s="10"/>
      <c r="G2" s="12"/>
      <c r="H2" s="15"/>
      <c r="J2" s="12"/>
    </row>
    <row r="3" spans="1:10" s="6" customFormat="1" x14ac:dyDescent="0.4">
      <c r="A3" s="7"/>
      <c r="B3" s="3" t="s">
        <v>7</v>
      </c>
      <c r="C3" s="3">
        <f>SUM(C5:C96)</f>
        <v>397</v>
      </c>
      <c r="D3" s="3">
        <f>SUM(D5:D96)</f>
        <v>10</v>
      </c>
      <c r="E3" s="3">
        <f>SUM(E5:E52)</f>
        <v>6.7899999999999991</v>
      </c>
      <c r="F3" s="5">
        <f>SUM(F5:F51)</f>
        <v>31.039999999999996</v>
      </c>
      <c r="G3" s="8">
        <f>SUM(G5:G57)</f>
        <v>396535.99999999994</v>
      </c>
      <c r="H3" s="15"/>
    </row>
    <row r="4" spans="1:10" s="11" customFormat="1" ht="3" customHeight="1" x14ac:dyDescent="0.4">
      <c r="A4" s="10"/>
      <c r="G4" s="12"/>
      <c r="H4" s="15"/>
      <c r="J4" s="12"/>
    </row>
    <row r="5" spans="1:10" x14ac:dyDescent="0.4">
      <c r="A5" s="4">
        <v>45566</v>
      </c>
      <c r="B5" s="3" t="s">
        <v>20</v>
      </c>
      <c r="C5" s="3">
        <v>129</v>
      </c>
      <c r="D5" s="3">
        <v>5</v>
      </c>
      <c r="E5" s="3">
        <f>ROUNDUP((C5+D5)/60,2)</f>
        <v>2.2399999999999998</v>
      </c>
      <c r="F5" s="5">
        <f t="shared" ref="F5:F35" si="0">E5*$J$8</f>
        <v>10.239999999999998</v>
      </c>
      <c r="G5" s="8">
        <f t="shared" ref="G5:G35" si="1">F5*$J$9</f>
        <v>130815.99999999999</v>
      </c>
      <c r="I5" s="1" t="s">
        <v>19</v>
      </c>
      <c r="J5" s="8" t="s">
        <v>18</v>
      </c>
    </row>
    <row r="6" spans="1:10" x14ac:dyDescent="0.4">
      <c r="A6" s="4">
        <f>A5+1</f>
        <v>45567</v>
      </c>
      <c r="B6" s="3" t="s">
        <v>21</v>
      </c>
      <c r="C6" s="3">
        <v>268</v>
      </c>
      <c r="D6" s="3">
        <v>5</v>
      </c>
      <c r="E6" s="3">
        <f t="shared" ref="E6:E35" si="2">ROUNDUP((C6+D6)/60,2)</f>
        <v>4.55</v>
      </c>
      <c r="F6" s="5">
        <f t="shared" si="0"/>
        <v>20.799999999999997</v>
      </c>
      <c r="G6" s="8">
        <f t="shared" si="1"/>
        <v>265719.99999999994</v>
      </c>
    </row>
    <row r="7" spans="1:10" x14ac:dyDescent="0.4">
      <c r="A7" s="4">
        <f t="shared" ref="A7:A35" si="3">A6+1</f>
        <v>45568</v>
      </c>
      <c r="E7" s="3">
        <f t="shared" si="2"/>
        <v>0</v>
      </c>
      <c r="F7" s="5">
        <f t="shared" si="0"/>
        <v>0</v>
      </c>
      <c r="G7" s="8">
        <f t="shared" si="1"/>
        <v>0</v>
      </c>
      <c r="I7" s="2" t="s">
        <v>2</v>
      </c>
      <c r="J7" s="5">
        <v>800</v>
      </c>
    </row>
    <row r="8" spans="1:10" x14ac:dyDescent="0.4">
      <c r="A8" s="4">
        <f t="shared" si="3"/>
        <v>45569</v>
      </c>
      <c r="E8" s="3">
        <f t="shared" si="2"/>
        <v>0</v>
      </c>
      <c r="F8" s="5">
        <f t="shared" si="0"/>
        <v>0</v>
      </c>
      <c r="G8" s="8">
        <f t="shared" si="1"/>
        <v>0</v>
      </c>
      <c r="I8" s="2" t="s">
        <v>3</v>
      </c>
      <c r="J8" s="5">
        <f>J7/175</f>
        <v>4.5714285714285712</v>
      </c>
    </row>
    <row r="9" spans="1:10" x14ac:dyDescent="0.4">
      <c r="A9" s="4">
        <f t="shared" si="3"/>
        <v>45570</v>
      </c>
      <c r="E9" s="3">
        <f t="shared" si="2"/>
        <v>0</v>
      </c>
      <c r="F9" s="5">
        <f t="shared" si="0"/>
        <v>0</v>
      </c>
      <c r="G9" s="8">
        <f t="shared" si="1"/>
        <v>0</v>
      </c>
      <c r="I9" s="1" t="s">
        <v>4</v>
      </c>
      <c r="J9" s="3">
        <v>12775</v>
      </c>
    </row>
    <row r="10" spans="1:10" x14ac:dyDescent="0.4">
      <c r="A10" s="4">
        <f t="shared" si="3"/>
        <v>45571</v>
      </c>
      <c r="E10" s="3">
        <f t="shared" si="2"/>
        <v>0</v>
      </c>
      <c r="F10" s="5">
        <f t="shared" si="0"/>
        <v>0</v>
      </c>
      <c r="G10" s="8">
        <f t="shared" si="1"/>
        <v>0</v>
      </c>
    </row>
    <row r="11" spans="1:10" x14ac:dyDescent="0.4">
      <c r="A11" s="4">
        <f t="shared" si="3"/>
        <v>45572</v>
      </c>
      <c r="B11" s="3" t="s">
        <v>22</v>
      </c>
      <c r="E11" s="3">
        <f t="shared" si="2"/>
        <v>0</v>
      </c>
      <c r="F11" s="5">
        <f t="shared" si="0"/>
        <v>0</v>
      </c>
      <c r="G11" s="8">
        <f t="shared" si="1"/>
        <v>0</v>
      </c>
      <c r="I11" s="2" t="s">
        <v>5</v>
      </c>
      <c r="J11" s="3">
        <v>0</v>
      </c>
    </row>
    <row r="12" spans="1:10" x14ac:dyDescent="0.4">
      <c r="A12" s="4">
        <f t="shared" si="3"/>
        <v>45573</v>
      </c>
      <c r="E12" s="3">
        <f t="shared" si="2"/>
        <v>0</v>
      </c>
      <c r="F12" s="5">
        <f t="shared" si="0"/>
        <v>0</v>
      </c>
      <c r="G12" s="8">
        <f t="shared" si="1"/>
        <v>0</v>
      </c>
      <c r="I12" s="6" t="s">
        <v>8</v>
      </c>
      <c r="J12" s="5">
        <v>0</v>
      </c>
    </row>
    <row r="13" spans="1:10" x14ac:dyDescent="0.4">
      <c r="A13" s="4">
        <f t="shared" si="3"/>
        <v>45574</v>
      </c>
      <c r="B13" s="3" t="s">
        <v>23</v>
      </c>
      <c r="E13" s="3">
        <f t="shared" si="2"/>
        <v>0</v>
      </c>
      <c r="F13" s="5">
        <f t="shared" si="0"/>
        <v>0</v>
      </c>
      <c r="G13" s="8">
        <f t="shared" si="1"/>
        <v>0</v>
      </c>
      <c r="I13" s="6" t="s">
        <v>9</v>
      </c>
      <c r="J13" s="13">
        <f>F3-J12</f>
        <v>31.039999999999996</v>
      </c>
    </row>
    <row r="14" spans="1:10" x14ac:dyDescent="0.4">
      <c r="A14" s="4">
        <f t="shared" si="3"/>
        <v>45575</v>
      </c>
      <c r="E14" s="3">
        <f t="shared" si="2"/>
        <v>0</v>
      </c>
      <c r="F14" s="5">
        <f t="shared" si="0"/>
        <v>0</v>
      </c>
      <c r="G14" s="8">
        <f t="shared" si="1"/>
        <v>0</v>
      </c>
      <c r="I14" s="9" t="s">
        <v>10</v>
      </c>
      <c r="J14" s="14">
        <f>J13*$J$9</f>
        <v>396535.99999999994</v>
      </c>
    </row>
    <row r="15" spans="1:10" x14ac:dyDescent="0.4">
      <c r="A15" s="4">
        <f t="shared" si="3"/>
        <v>45576</v>
      </c>
      <c r="E15" s="3">
        <f t="shared" si="2"/>
        <v>0</v>
      </c>
      <c r="F15" s="5">
        <f t="shared" si="0"/>
        <v>0</v>
      </c>
      <c r="G15" s="8">
        <f t="shared" si="1"/>
        <v>0</v>
      </c>
    </row>
    <row r="16" spans="1:10" x14ac:dyDescent="0.4">
      <c r="A16" s="4">
        <f t="shared" si="3"/>
        <v>45577</v>
      </c>
      <c r="E16" s="3">
        <f t="shared" si="2"/>
        <v>0</v>
      </c>
      <c r="F16" s="5">
        <f t="shared" si="0"/>
        <v>0</v>
      </c>
      <c r="G16" s="8">
        <f t="shared" si="1"/>
        <v>0</v>
      </c>
      <c r="I16" s="1" t="s">
        <v>14</v>
      </c>
      <c r="J16" s="8">
        <v>3000000</v>
      </c>
    </row>
    <row r="17" spans="1:10" x14ac:dyDescent="0.4">
      <c r="A17" s="4">
        <f t="shared" si="3"/>
        <v>45578</v>
      </c>
      <c r="E17" s="3">
        <f t="shared" si="2"/>
        <v>0</v>
      </c>
      <c r="F17" s="5">
        <f t="shared" si="0"/>
        <v>0</v>
      </c>
      <c r="G17" s="8">
        <f t="shared" si="1"/>
        <v>0</v>
      </c>
      <c r="I17" s="1" t="s">
        <v>15</v>
      </c>
      <c r="J17" s="8">
        <f>J16*0.075</f>
        <v>225000</v>
      </c>
    </row>
    <row r="18" spans="1:10" x14ac:dyDescent="0.4">
      <c r="A18" s="4">
        <f t="shared" si="3"/>
        <v>45579</v>
      </c>
      <c r="E18" s="3">
        <f t="shared" si="2"/>
        <v>0</v>
      </c>
      <c r="F18" s="5">
        <f t="shared" si="0"/>
        <v>0</v>
      </c>
      <c r="G18" s="8">
        <f t="shared" si="1"/>
        <v>0</v>
      </c>
      <c r="I18" s="1" t="s">
        <v>16</v>
      </c>
      <c r="J18" s="8">
        <f>J16-J17</f>
        <v>2775000</v>
      </c>
    </row>
    <row r="19" spans="1:10" x14ac:dyDescent="0.4">
      <c r="A19" s="4">
        <f t="shared" si="3"/>
        <v>45580</v>
      </c>
      <c r="E19" s="3">
        <f t="shared" si="2"/>
        <v>0</v>
      </c>
      <c r="F19" s="5">
        <f t="shared" si="0"/>
        <v>0</v>
      </c>
      <c r="G19" s="8">
        <f t="shared" si="1"/>
        <v>0</v>
      </c>
      <c r="I19" s="1"/>
    </row>
    <row r="20" spans="1:10" x14ac:dyDescent="0.4">
      <c r="A20" s="4">
        <f t="shared" si="3"/>
        <v>45581</v>
      </c>
      <c r="E20" s="3">
        <f t="shared" si="2"/>
        <v>0</v>
      </c>
      <c r="F20" s="5">
        <f t="shared" si="0"/>
        <v>0</v>
      </c>
      <c r="G20" s="8">
        <f t="shared" si="1"/>
        <v>0</v>
      </c>
      <c r="I20" s="1" t="s">
        <v>17</v>
      </c>
      <c r="J20" s="8">
        <f>J14-J16</f>
        <v>-2603464</v>
      </c>
    </row>
    <row r="21" spans="1:10" x14ac:dyDescent="0.4">
      <c r="A21" s="4">
        <f t="shared" si="3"/>
        <v>45582</v>
      </c>
      <c r="E21" s="3">
        <f t="shared" si="2"/>
        <v>0</v>
      </c>
      <c r="F21" s="5">
        <f t="shared" si="0"/>
        <v>0</v>
      </c>
      <c r="G21" s="8">
        <f t="shared" si="1"/>
        <v>0</v>
      </c>
    </row>
    <row r="22" spans="1:10" x14ac:dyDescent="0.4">
      <c r="A22" s="4">
        <f t="shared" si="3"/>
        <v>45583</v>
      </c>
      <c r="E22" s="3">
        <f t="shared" si="2"/>
        <v>0</v>
      </c>
      <c r="F22" s="5">
        <f t="shared" si="0"/>
        <v>0</v>
      </c>
      <c r="G22" s="8">
        <f t="shared" si="1"/>
        <v>0</v>
      </c>
    </row>
    <row r="23" spans="1:10" x14ac:dyDescent="0.4">
      <c r="A23" s="4">
        <f t="shared" si="3"/>
        <v>45584</v>
      </c>
      <c r="E23" s="3">
        <f t="shared" si="2"/>
        <v>0</v>
      </c>
      <c r="F23" s="5">
        <f t="shared" si="0"/>
        <v>0</v>
      </c>
      <c r="G23" s="8">
        <f t="shared" si="1"/>
        <v>0</v>
      </c>
    </row>
    <row r="24" spans="1:10" x14ac:dyDescent="0.4">
      <c r="A24" s="4">
        <f t="shared" si="3"/>
        <v>45585</v>
      </c>
      <c r="E24" s="3">
        <f t="shared" si="2"/>
        <v>0</v>
      </c>
      <c r="F24" s="5">
        <f t="shared" si="0"/>
        <v>0</v>
      </c>
      <c r="G24" s="8">
        <f t="shared" si="1"/>
        <v>0</v>
      </c>
    </row>
    <row r="25" spans="1:10" x14ac:dyDescent="0.4">
      <c r="A25" s="4">
        <f t="shared" si="3"/>
        <v>45586</v>
      </c>
      <c r="E25" s="3">
        <f t="shared" si="2"/>
        <v>0</v>
      </c>
      <c r="F25" s="5">
        <f t="shared" si="0"/>
        <v>0</v>
      </c>
      <c r="G25" s="8">
        <f t="shared" si="1"/>
        <v>0</v>
      </c>
    </row>
    <row r="26" spans="1:10" x14ac:dyDescent="0.4">
      <c r="A26" s="4">
        <f t="shared" si="3"/>
        <v>45587</v>
      </c>
      <c r="E26" s="3">
        <f t="shared" si="2"/>
        <v>0</v>
      </c>
      <c r="F26" s="5">
        <f t="shared" si="0"/>
        <v>0</v>
      </c>
      <c r="G26" s="8">
        <f t="shared" si="1"/>
        <v>0</v>
      </c>
    </row>
    <row r="27" spans="1:10" x14ac:dyDescent="0.4">
      <c r="A27" s="4">
        <f t="shared" si="3"/>
        <v>45588</v>
      </c>
      <c r="E27" s="3">
        <f t="shared" si="2"/>
        <v>0</v>
      </c>
      <c r="F27" s="5">
        <f t="shared" si="0"/>
        <v>0</v>
      </c>
      <c r="G27" s="8">
        <f t="shared" si="1"/>
        <v>0</v>
      </c>
    </row>
    <row r="28" spans="1:10" x14ac:dyDescent="0.4">
      <c r="A28" s="4">
        <f t="shared" si="3"/>
        <v>45589</v>
      </c>
      <c r="E28" s="3">
        <f t="shared" si="2"/>
        <v>0</v>
      </c>
      <c r="F28" s="5">
        <f t="shared" si="0"/>
        <v>0</v>
      </c>
      <c r="G28" s="8">
        <f t="shared" si="1"/>
        <v>0</v>
      </c>
    </row>
    <row r="29" spans="1:10" x14ac:dyDescent="0.4">
      <c r="A29" s="4">
        <f t="shared" si="3"/>
        <v>45590</v>
      </c>
      <c r="E29" s="3">
        <f t="shared" si="2"/>
        <v>0</v>
      </c>
      <c r="F29" s="5">
        <f t="shared" si="0"/>
        <v>0</v>
      </c>
      <c r="G29" s="8">
        <f t="shared" si="1"/>
        <v>0</v>
      </c>
    </row>
    <row r="30" spans="1:10" x14ac:dyDescent="0.4">
      <c r="A30" s="4">
        <f t="shared" si="3"/>
        <v>45591</v>
      </c>
      <c r="E30" s="3">
        <f t="shared" si="2"/>
        <v>0</v>
      </c>
      <c r="F30" s="5">
        <f t="shared" si="0"/>
        <v>0</v>
      </c>
      <c r="G30" s="8">
        <f t="shared" si="1"/>
        <v>0</v>
      </c>
    </row>
    <row r="31" spans="1:10" x14ac:dyDescent="0.4">
      <c r="A31" s="4">
        <f t="shared" si="3"/>
        <v>45592</v>
      </c>
      <c r="E31" s="3">
        <f t="shared" si="2"/>
        <v>0</v>
      </c>
      <c r="F31" s="5">
        <f t="shared" si="0"/>
        <v>0</v>
      </c>
      <c r="G31" s="8">
        <f t="shared" si="1"/>
        <v>0</v>
      </c>
    </row>
    <row r="32" spans="1:10" x14ac:dyDescent="0.4">
      <c r="A32" s="4">
        <f t="shared" si="3"/>
        <v>45593</v>
      </c>
      <c r="E32" s="3">
        <f t="shared" si="2"/>
        <v>0</v>
      </c>
      <c r="F32" s="5">
        <f t="shared" si="0"/>
        <v>0</v>
      </c>
      <c r="G32" s="8">
        <f t="shared" si="1"/>
        <v>0</v>
      </c>
    </row>
    <row r="33" spans="1:9" x14ac:dyDescent="0.4">
      <c r="A33" s="4">
        <f t="shared" si="3"/>
        <v>45594</v>
      </c>
      <c r="E33" s="3">
        <f t="shared" si="2"/>
        <v>0</v>
      </c>
      <c r="F33" s="5">
        <f t="shared" si="0"/>
        <v>0</v>
      </c>
      <c r="G33" s="8">
        <f t="shared" si="1"/>
        <v>0</v>
      </c>
    </row>
    <row r="34" spans="1:9" x14ac:dyDescent="0.4">
      <c r="A34" s="4">
        <f t="shared" si="3"/>
        <v>45595</v>
      </c>
      <c r="E34" s="3">
        <f t="shared" si="2"/>
        <v>0</v>
      </c>
      <c r="F34" s="5">
        <f t="shared" si="0"/>
        <v>0</v>
      </c>
      <c r="G34" s="8">
        <f t="shared" si="1"/>
        <v>0</v>
      </c>
      <c r="I34" s="5"/>
    </row>
    <row r="35" spans="1:9" x14ac:dyDescent="0.4">
      <c r="A35" s="4">
        <f t="shared" si="3"/>
        <v>45596</v>
      </c>
      <c r="E35" s="3">
        <f t="shared" si="2"/>
        <v>0</v>
      </c>
      <c r="F35" s="5">
        <f t="shared" si="0"/>
        <v>0</v>
      </c>
      <c r="G35" s="8">
        <f t="shared" si="1"/>
        <v>0</v>
      </c>
    </row>
    <row r="1048576" spans="1:10" x14ac:dyDescent="0.4">
      <c r="A1048576" s="4">
        <f>SUM(A3:A1048575)</f>
        <v>1413011</v>
      </c>
      <c r="C1048576" s="3">
        <f>SUM(C3:C1048575)</f>
        <v>794</v>
      </c>
      <c r="D1048576" s="3">
        <f>SUM(D3:D1048575)</f>
        <v>20</v>
      </c>
      <c r="E1048576" s="3">
        <f>SUM(E3:E1048575)</f>
        <v>13.579999999999998</v>
      </c>
      <c r="F1048576" s="5">
        <f>SUM(F3:F1048575)</f>
        <v>62.079999999999991</v>
      </c>
      <c r="G1048576" s="8">
        <f>SUM(G3:G1048575)</f>
        <v>793071.99999999977</v>
      </c>
      <c r="J1048576" s="8">
        <f>SUM(J3:J1048575)</f>
        <v>3806682.6114285719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244C828-8C90-4FA5-A077-F46BF3A4C0B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ALL</vt:lpstr>
      <vt:lpstr>Sheet1</vt:lpstr>
      <vt:lpstr>2025-03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Администратор</dc:creator>
  <cp:lastModifiedBy>Administrator</cp:lastModifiedBy>
  <dcterms:created xsi:type="dcterms:W3CDTF">2016-10-20T07:09:30Z</dcterms:created>
  <dcterms:modified xsi:type="dcterms:W3CDTF">2025-09-04T13:21:10Z</dcterms:modified>
</cp:coreProperties>
</file>